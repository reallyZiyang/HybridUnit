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nit" sheetId="1" state="visible" r:id="rId3"/>
    <sheet name="Skill" sheetId="2" state="visible" r:id="rId4"/>
    <sheet name="Buff" sheetId="3" state="visible" r:id="rId5"/>
    <sheet name="DamageEffect" sheetId="4" state="visible" r:id="rId6"/>
    <sheet name="HealEffect" sheetId="5" state="visible" r:id="rId7"/>
    <sheet name="AddBuffEffect" sheetId="6" state="visible" r:id="rId8"/>
    <sheet name="ProjectileEffect" sheetId="7" state="visible" r:id="rId9"/>
  </sheets>
  <definedNames>
    <definedName function="false" hidden="true" localSheetId="5" name="_xlnm._FilterDatabase" vbProcedure="false">AddBuffEffect!$A$1:$F$6</definedName>
    <definedName function="false" hidden="true" localSheetId="2" name="_xlnm._FilterDatabase" vbProcedure="false">Buff!$A$1:$K$6</definedName>
    <definedName function="false" hidden="true" localSheetId="3" name="_xlnm._FilterDatabase" vbProcedure="false">DamageEffect!$A$1:$J$7</definedName>
    <definedName function="false" hidden="true" localSheetId="4" name="_xlnm._FilterDatabase" vbProcedure="false">HealEffect!$A$1:$G$6</definedName>
    <definedName function="false" hidden="true" localSheetId="6" name="_xlnm._FilterDatabase" vbProcedure="false">ProjectileEffect!$A$1:$J$5</definedName>
    <definedName function="false" hidden="true" localSheetId="1" name="_xlnm._FilterDatabase" vbProcedure="false">Skill!$A$1:$K$7</definedName>
    <definedName function="false" hidden="true" localSheetId="0" name="_xlnm._FilterDatabase" vbProcedure="false">Unit!$A$1:$I$6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<sst xmlns="http://schemas.openxmlformats.org/spreadsheetml/2006/main" count="320" uniqueCount="151">
  <si>
    <t xml:space="preserve">##var</t>
  </si>
  <si>
    <t xml:space="preserve">id</t>
  </si>
  <si>
    <t xml:space="preserve">name</t>
  </si>
  <si>
    <t xml:space="preserve">radius</t>
  </si>
  <si>
    <t xml:space="preserve">camp</t>
  </si>
  <si>
    <t xml:space="preserve">layer</t>
  </si>
  <si>
    <t xml:space="preserve">attrs</t>
  </si>
  <si>
    <t xml:space="preserve">defaultSkills</t>
  </si>
  <si>
    <t xml:space="preserve">renderKey</t>
  </si>
  <si>
    <t xml:space="preserve">##type</t>
  </si>
  <si>
    <t xml:space="preserve">int</t>
  </si>
  <si>
    <t xml:space="preserve">string</t>
  </si>
  <si>
    <t xml:space="preserve">float</t>
  </si>
  <si>
    <t xml:space="preserve">(array#sep=|),(Attr.AttributePair#sep=,)</t>
  </si>
  <si>
    <t xml:space="preserve">(array#sep=|),int</t>
  </si>
  <si>
    <t xml:space="preserve">##group</t>
  </si>
  <si>
    <t xml:space="preserve">c</t>
  </si>
  <si>
    <t xml:space="preserve">##</t>
  </si>
  <si>
    <t xml:space="preserve">单位id</t>
  </si>
  <si>
    <t xml:space="preserve">单位名</t>
  </si>
  <si>
    <t xml:space="preserve">碰撞半径</t>
  </si>
  <si>
    <t xml:space="preserve">默认阵营</t>
  </si>
  <si>
    <t xml:space="preserve">层级</t>
  </si>
  <si>
    <t xml:space="preserve">初始属性</t>
  </si>
  <si>
    <t xml:space="preserve">默认技能</t>
  </si>
  <si>
    <t xml:space="preserve">表现资源key</t>
  </si>
  <si>
    <t xml:space="preserve">弓箭手</t>
  </si>
  <si>
    <t xml:space="preserve">102,500|105,500|101,50|103,10|104,300|201,1</t>
  </si>
  <si>
    <t xml:space="preserve">Character_1_AnimationVit</t>
  </si>
  <si>
    <t xml:space="preserve">野蛮人</t>
  </si>
  <si>
    <r>
      <rPr>
        <sz val="11"/>
        <color theme="1"/>
        <rFont val="Calibri"/>
        <family val="2"/>
        <charset val="1"/>
      </rPr>
      <t xml:space="preserve">102,1000|105,1000|101,50|103,10|104,300</t>
    </r>
    <r>
      <rPr>
        <sz val="11"/>
        <color theme="1"/>
        <rFont val="Calibri"/>
        <family val="2"/>
        <charset val="134"/>
      </rPr>
      <t xml:space="preserve">|201,1</t>
    </r>
  </si>
  <si>
    <t xml:space="preserve">Character_2_AnimationVit</t>
  </si>
  <si>
    <t xml:space="preserve">野猫</t>
  </si>
  <si>
    <t xml:space="preserve">102,300|105,300|101,20|103,3|104,220</t>
  </si>
  <si>
    <t xml:space="preserve">Animal_Cat_AnimationVit</t>
  </si>
  <si>
    <t xml:space="preserve">野狗</t>
  </si>
  <si>
    <t xml:space="preserve">Animal_Dog_AnimationVit</t>
  </si>
  <si>
    <t xml:space="preserve">actionName</t>
  </si>
  <si>
    <t xml:space="preserve">castPreMs</t>
  </si>
  <si>
    <t xml:space="preserve">castBackMs</t>
  </si>
  <si>
    <t xml:space="preserve">cooldownMs</t>
  </si>
  <si>
    <t xml:space="preserve">castRange</t>
  </si>
  <si>
    <t xml:space="preserve">targetType</t>
  </si>
  <si>
    <t xml:space="preserve">selectType</t>
  </si>
  <si>
    <t xml:space="preserve">shape</t>
  </si>
  <si>
    <t xml:space="preserve">effects</t>
  </si>
  <si>
    <t xml:space="preserve">Battle.SkillTargetType</t>
  </si>
  <si>
    <t xml:space="preserve">Battle.TargetSelectType</t>
  </si>
  <si>
    <t xml:space="preserve">Battle.BattleShapeDesc</t>
  </si>
  <si>
    <t xml:space="preserve">(array#sep=|),Battle.EffectRef</t>
  </si>
  <si>
    <t xml:space="preserve">技能id</t>
  </si>
  <si>
    <t xml:space="preserve">技能名</t>
  </si>
  <si>
    <t xml:space="preserve">动作名</t>
  </si>
  <si>
    <t xml:space="preserve">前摇毫秒</t>
  </si>
  <si>
    <t xml:space="preserve">后摇毫秒</t>
  </si>
  <si>
    <t xml:space="preserve">冷却毫秒</t>
  </si>
  <si>
    <t xml:space="preserve">施法距离</t>
  </si>
  <si>
    <t xml:space="preserve">目标类型</t>
  </si>
  <si>
    <t xml:space="preserve">选敌方式</t>
  </si>
  <si>
    <t xml:space="preserve">范围形状</t>
  </si>
  <si>
    <t xml:space="preserve">效果列表</t>
  </si>
  <si>
    <t xml:space="preserve">普攻</t>
  </si>
  <si>
    <t xml:space="preserve">attack</t>
  </si>
  <si>
    <t xml:space="preserve">Enemy</t>
  </si>
  <si>
    <t xml:space="preserve">Nearest</t>
  </si>
  <si>
    <t xml:space="preserve">Circle,1.2,0,0,0,0,0</t>
  </si>
  <si>
    <t xml:space="preserve">Damage,3001,10000</t>
  </si>
  <si>
    <t xml:space="preserve">远程普攻</t>
  </si>
  <si>
    <t xml:space="preserve">Null,0,0,0,0,0,0</t>
  </si>
  <si>
    <t xml:space="preserve">Projectile,6001,0</t>
  </si>
  <si>
    <t xml:space="preserve">怪物撕咬</t>
  </si>
  <si>
    <t xml:space="preserve">Circle,1,0,0,0,0,0</t>
  </si>
  <si>
    <t xml:space="preserve">Damage,3001,8000</t>
  </si>
  <si>
    <t xml:space="preserve">durationMs</t>
  </si>
  <si>
    <t xml:space="preserve">maxStack</t>
  </si>
  <si>
    <t xml:space="preserve">stackMode</t>
  </si>
  <si>
    <t xml:space="preserve">tickMs</t>
  </si>
  <si>
    <t xml:space="preserve">tickEffects</t>
  </si>
  <si>
    <t xml:space="preserve">beginEffects</t>
  </si>
  <si>
    <t xml:space="preserve">endEffects</t>
  </si>
  <si>
    <t xml:space="preserve">Battle.BuffStackMode</t>
  </si>
  <si>
    <t xml:space="preserve">BuffId</t>
  </si>
  <si>
    <r>
      <rPr>
        <sz val="11"/>
        <color theme="1"/>
        <rFont val="Calibri"/>
        <family val="2"/>
        <charset val="1"/>
      </rPr>
      <t xml:space="preserve">Buff</t>
    </r>
    <r>
      <rPr>
        <sz val="11"/>
        <color theme="1"/>
        <rFont val="Noto Sans SC"/>
        <family val="2"/>
        <charset val="134"/>
      </rPr>
      <t xml:space="preserve">名</t>
    </r>
  </si>
  <si>
    <t xml:space="preserve">持续毫秒</t>
  </si>
  <si>
    <t xml:space="preserve">最大层数</t>
  </si>
  <si>
    <t xml:space="preserve">叠加规则</t>
  </si>
  <si>
    <t xml:space="preserve">周期毫秒</t>
  </si>
  <si>
    <t xml:space="preserve">属性修改</t>
  </si>
  <si>
    <t xml:space="preserve">周期效果</t>
  </si>
  <si>
    <t xml:space="preserve">开始效果</t>
  </si>
  <si>
    <t xml:space="preserve">结束效果</t>
  </si>
  <si>
    <t xml:space="preserve">燃烧</t>
  </si>
  <si>
    <t xml:space="preserve">RefreshAndStack</t>
  </si>
  <si>
    <t xml:space="preserve">Damage,3003,10000</t>
  </si>
  <si>
    <t xml:space="preserve">加速</t>
  </si>
  <si>
    <t xml:space="preserve">Refresh</t>
  </si>
  <si>
    <t xml:space="preserve">104,500</t>
  </si>
  <si>
    <t xml:space="preserve">attr</t>
  </si>
  <si>
    <t xml:space="preserve">ratio</t>
  </si>
  <si>
    <t xml:space="preserve">fixedValue</t>
  </si>
  <si>
    <t xml:space="preserve">damageElement</t>
  </si>
  <si>
    <t xml:space="preserve">canCrit</t>
  </si>
  <si>
    <t xml:space="preserve">hitCount</t>
  </si>
  <si>
    <t xml:space="preserve">playHitReaction</t>
  </si>
  <si>
    <t xml:space="preserve">Attr.AttributeType</t>
  </si>
  <si>
    <t xml:space="preserve">long</t>
  </si>
  <si>
    <t xml:space="preserve">bool</t>
  </si>
  <si>
    <t xml:space="preserve">效果id</t>
  </si>
  <si>
    <t xml:space="preserve">效果名</t>
  </si>
  <si>
    <t xml:space="preserve">取值属性</t>
  </si>
  <si>
    <t xml:space="preserve">属性倍率</t>
  </si>
  <si>
    <t xml:space="preserve">固定伤害</t>
  </si>
  <si>
    <t xml:space="preserve">伤害元素</t>
  </si>
  <si>
    <t xml:space="preserve">是否暴击</t>
  </si>
  <si>
    <t xml:space="preserve">最大命中数</t>
  </si>
  <si>
    <t xml:space="preserve">是否播放受击</t>
  </si>
  <si>
    <t xml:space="preserve">普攻伤害</t>
  </si>
  <si>
    <t xml:space="preserve">Atk</t>
  </si>
  <si>
    <t xml:space="preserve">火球命中伤害</t>
  </si>
  <si>
    <t xml:space="preserve">燃烧周期伤害</t>
  </si>
  <si>
    <t xml:space="preserve">固定回血</t>
  </si>
  <si>
    <t xml:space="preserve">小治疗</t>
  </si>
  <si>
    <t xml:space="preserve">HpMax</t>
  </si>
  <si>
    <t xml:space="preserve">Null</t>
  </si>
  <si>
    <t xml:space="preserve">buffId</t>
  </si>
  <si>
    <t xml:space="preserve">durationOverrideMs</t>
  </si>
  <si>
    <t xml:space="preserve">stack</t>
  </si>
  <si>
    <t xml:space="preserve">覆盖持续时间毫秒</t>
  </si>
  <si>
    <t xml:space="preserve">增加层数</t>
  </si>
  <si>
    <t xml:space="preserve">添加燃烧</t>
  </si>
  <si>
    <t xml:space="preserve">添加加速</t>
  </si>
  <si>
    <t xml:space="preserve">projectileKey</t>
  </si>
  <si>
    <t xml:space="preserve">speed</t>
  </si>
  <si>
    <t xml:space="preserve">lifetimeMs</t>
  </si>
  <si>
    <t xml:space="preserve">pierceCount</t>
  </si>
  <si>
    <t xml:space="preserve">hitIntervalMs</t>
  </si>
  <si>
    <t xml:space="preserve">queryQuality</t>
  </si>
  <si>
    <t xml:space="preserve">hitEffects</t>
  </si>
  <si>
    <t xml:space="preserve">Battle.QueryQuality</t>
  </si>
  <si>
    <t xml:space="preserve">抛射物表现key</t>
  </si>
  <si>
    <t xml:space="preserve">速度</t>
  </si>
  <si>
    <t xml:space="preserve">存活毫秒</t>
  </si>
  <si>
    <t xml:space="preserve">穿透次数</t>
  </si>
  <si>
    <t xml:space="preserve">同目标命中间隔</t>
  </si>
  <si>
    <t xml:space="preserve">????</t>
  </si>
  <si>
    <t xml:space="preserve">命中效果</t>
  </si>
  <si>
    <t xml:space="preserve">FA_Consumable_Arrow_008_Blue_Atlas</t>
  </si>
  <si>
    <t xml:space="preserve">High</t>
  </si>
  <si>
    <t xml:space="preserve">Damage,3002,10000</t>
  </si>
  <si>
    <t xml:space="preserve">projectile_arrow</t>
  </si>
  <si>
    <t xml:space="preserve">Damage,3002,10000|AddBuff,5001,0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</si>
</sst>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1"/>
      <name val="Cambria"/>
      <family val="0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H9" activeCellId="0" sqref="H9"/>
    </sheetView>
  </sheetViews>
  <sheetFormatPr defaultColWidth="7.7734375" defaultRowHeight="15" customHeight="false" zeroHeight="false" outlineLevelRow="0" outlineLevelCol="0"/>
  <cols>
    <col collapsed="false" customWidth="true" hidden="false" outlineLevel="0" max="6" min="1" style="1" width="9.1"/>
    <col collapsed="false" customWidth="true" hidden="false" outlineLevel="0" max="7" min="7" style="1" width="38.21"/>
    <col collapsed="false" customWidth="true" hidden="false" outlineLevel="0" max="8" min="8" style="1" width="17.29"/>
    <col collapsed="false" customWidth="true" hidden="false" outlineLevel="0" max="9" min="9" style="1" width="13.6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10</v>
      </c>
      <c r="F2" s="3" t="s">
        <v>10</v>
      </c>
      <c r="G2" s="3" t="s">
        <v>13</v>
      </c>
      <c r="H2" s="3" t="s">
        <v>14</v>
      </c>
      <c r="I2" s="3" t="s">
        <v>11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</row>
    <row r="4" customFormat="false" ht="15" hidden="false" customHeight="true" outlineLevel="0" collapsed="false">
      <c r="A4" s="5" t="s">
        <v>17</v>
      </c>
      <c r="B4" s="6" t="s">
        <v>18</v>
      </c>
      <c r="C4" s="6" t="s">
        <v>19</v>
      </c>
      <c r="D4" s="6" t="s">
        <v>20</v>
      </c>
      <c r="E4" s="6" t="s">
        <v>21</v>
      </c>
      <c r="F4" s="6" t="s">
        <v>22</v>
      </c>
      <c r="G4" s="6" t="s">
        <v>23</v>
      </c>
      <c r="H4" s="6" t="s">
        <v>24</v>
      </c>
      <c r="I4" s="6" t="s">
        <v>25</v>
      </c>
    </row>
    <row r="5" customFormat="false" ht="15" hidden="false" customHeight="true" outlineLevel="0" collapsed="false">
      <c r="B5" s="1" t="n">
        <v>1001</v>
      </c>
      <c r="C5" s="1" t="s">
        <v>26</v>
      </c>
      <c r="D5" s="1" t="n">
        <v>0.5</v>
      </c>
      <c r="E5" s="1" t="n">
        <v>1</v>
      </c>
      <c r="F5" s="1" t="n">
        <v>0</v>
      </c>
      <c r="G5" s="7" t="s">
        <v>27</v>
      </c>
      <c r="H5" s="1" t="n">
        <v>2002</v>
      </c>
      <c r="I5" s="1" t="s">
        <v>28</v>
      </c>
    </row>
    <row r="6" customFormat="false" ht="15" hidden="false" customHeight="true" outlineLevel="0" collapsed="false">
      <c r="B6" s="1" t="n">
        <v>1002</v>
      </c>
      <c r="C6" s="1" t="s">
        <v>29</v>
      </c>
      <c r="D6" s="1" t="n">
        <v>0.5</v>
      </c>
      <c r="E6" s="1" t="n">
        <v>1</v>
      </c>
      <c r="F6" s="1" t="n">
        <v>0</v>
      </c>
      <c r="G6" s="7" t="s">
        <v>30</v>
      </c>
      <c r="H6" s="7" t="n">
        <v>2001</v>
      </c>
      <c r="I6" s="1" t="s">
        <v>31</v>
      </c>
    </row>
    <row r="7" customFormat="false" ht="15" hidden="false" customHeight="true" outlineLevel="0" collapsed="false">
      <c r="G7" s="7"/>
    </row>
    <row r="8" customFormat="false" ht="15" hidden="false" customHeight="true" outlineLevel="0" collapsed="false">
      <c r="B8" s="1" t="n">
        <v>2001</v>
      </c>
      <c r="C8" s="1" t="s">
        <v>32</v>
      </c>
      <c r="D8" s="1" t="n">
        <v>0.5</v>
      </c>
      <c r="E8" s="1" t="n">
        <v>2</v>
      </c>
      <c r="F8" s="1" t="n">
        <v>0</v>
      </c>
      <c r="G8" s="7" t="s">
        <v>33</v>
      </c>
      <c r="H8" s="7" t="n">
        <v>2001</v>
      </c>
      <c r="I8" s="7" t="s">
        <v>34</v>
      </c>
    </row>
    <row r="9" customFormat="false" ht="15" hidden="false" customHeight="true" outlineLevel="0" collapsed="false">
      <c r="B9" s="1" t="n">
        <v>2002</v>
      </c>
      <c r="C9" s="1" t="s">
        <v>35</v>
      </c>
      <c r="D9" s="1" t="n">
        <v>0.5</v>
      </c>
      <c r="E9" s="1" t="n">
        <v>2</v>
      </c>
      <c r="F9" s="1" t="n">
        <v>0</v>
      </c>
      <c r="G9" s="7" t="s">
        <v>33</v>
      </c>
      <c r="H9" s="7" t="n">
        <v>2001</v>
      </c>
      <c r="I9" s="7" t="s">
        <v>36</v>
      </c>
    </row>
  </sheetData>
  <autoFilter ref="A1:I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I9" activeCellId="0" sqref="I9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0.92"/>
    <col collapsed="false" customWidth="true" hidden="false" outlineLevel="0" max="5" min="5" style="1" width="10.01"/>
    <col collapsed="false" customWidth="true" hidden="false" outlineLevel="0" max="7" min="6" style="1" width="10.92"/>
    <col collapsed="false" customWidth="true" hidden="false" outlineLevel="0" max="8" min="8" style="1" width="21.84"/>
    <col collapsed="false" customWidth="true" hidden="false" outlineLevel="0" max="9" min="9" style="1" width="22.76"/>
    <col collapsed="false" customWidth="true" hidden="false" outlineLevel="0" max="10" min="10" style="1" width="21.84"/>
    <col collapsed="false" customWidth="true" hidden="false" outlineLevel="0" max="11" min="11" style="1" width="29.1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37</v>
      </c>
      <c r="E1" s="2" t="s">
        <v>38</v>
      </c>
      <c r="F1" s="2" t="s">
        <v>39</v>
      </c>
      <c r="G1" s="2" t="s">
        <v>40</v>
      </c>
      <c r="H1" s="8" t="s">
        <v>41</v>
      </c>
      <c r="I1" s="2" t="s">
        <v>42</v>
      </c>
      <c r="J1" s="2" t="s">
        <v>43</v>
      </c>
      <c r="K1" s="2" t="s">
        <v>44</v>
      </c>
      <c r="L1" s="2" t="s">
        <v>45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11</v>
      </c>
      <c r="E2" s="3" t="s">
        <v>10</v>
      </c>
      <c r="F2" s="3" t="s">
        <v>10</v>
      </c>
      <c r="G2" s="3" t="s">
        <v>10</v>
      </c>
      <c r="H2" s="1" t="s">
        <v>12</v>
      </c>
      <c r="I2" s="3" t="s">
        <v>46</v>
      </c>
      <c r="J2" s="3" t="s">
        <v>47</v>
      </c>
      <c r="K2" s="3" t="s">
        <v>48</v>
      </c>
      <c r="L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1" t="s">
        <v>16</v>
      </c>
      <c r="I3" s="4" t="s">
        <v>16</v>
      </c>
      <c r="J3" s="4" t="s">
        <v>16</v>
      </c>
      <c r="K3" s="4" t="s">
        <v>16</v>
      </c>
      <c r="L3" s="4" t="s">
        <v>16</v>
      </c>
    </row>
    <row r="4" customFormat="false" ht="15" hidden="false" customHeight="true" outlineLevel="0" collapsed="false">
      <c r="A4" s="5" t="s">
        <v>17</v>
      </c>
      <c r="B4" s="6" t="s">
        <v>50</v>
      </c>
      <c r="C4" s="6" t="s">
        <v>51</v>
      </c>
      <c r="D4" s="6" t="s">
        <v>52</v>
      </c>
      <c r="E4" s="6" t="s">
        <v>53</v>
      </c>
      <c r="F4" s="6" t="s">
        <v>54</v>
      </c>
      <c r="G4" s="6" t="s">
        <v>55</v>
      </c>
      <c r="H4" s="1" t="s">
        <v>56</v>
      </c>
      <c r="I4" s="6" t="s">
        <v>57</v>
      </c>
      <c r="J4" s="6" t="s">
        <v>58</v>
      </c>
      <c r="K4" s="6" t="s">
        <v>59</v>
      </c>
      <c r="L4" s="6" t="s">
        <v>60</v>
      </c>
    </row>
    <row r="5" customFormat="false" ht="15" hidden="false" customHeight="true" outlineLevel="0" collapsed="false">
      <c r="B5" s="1" t="n">
        <v>2001</v>
      </c>
      <c r="C5" s="1" t="s">
        <v>61</v>
      </c>
      <c r="D5" s="7" t="s">
        <v>62</v>
      </c>
      <c r="E5" s="1" t="n">
        <v>1000</v>
      </c>
      <c r="F5" s="1" t="n">
        <v>200</v>
      </c>
      <c r="G5" s="1" t="n">
        <v>1000</v>
      </c>
      <c r="H5" s="1" t="n">
        <v>1.2</v>
      </c>
      <c r="I5" s="7" t="s">
        <v>63</v>
      </c>
      <c r="J5" s="7" t="s">
        <v>64</v>
      </c>
      <c r="K5" s="7" t="s">
        <v>65</v>
      </c>
      <c r="L5" s="7" t="s">
        <v>66</v>
      </c>
    </row>
    <row r="6" customFormat="false" ht="15" hidden="false" customHeight="true" outlineLevel="0" collapsed="false">
      <c r="B6" s="1" t="n">
        <v>2002</v>
      </c>
      <c r="C6" s="1" t="s">
        <v>67</v>
      </c>
      <c r="D6" s="7" t="s">
        <v>62</v>
      </c>
      <c r="E6" s="1" t="n">
        <v>1000</v>
      </c>
      <c r="F6" s="1" t="n">
        <v>300</v>
      </c>
      <c r="G6" s="1" t="n">
        <v>2000</v>
      </c>
      <c r="H6" s="1" t="n">
        <v>5</v>
      </c>
      <c r="I6" s="7" t="s">
        <v>63</v>
      </c>
      <c r="J6" s="7" t="s">
        <v>64</v>
      </c>
      <c r="K6" s="7" t="s">
        <v>68</v>
      </c>
      <c r="L6" s="7" t="s">
        <v>69</v>
      </c>
    </row>
    <row r="7" customFormat="false" ht="15" hidden="false" customHeight="true" outlineLevel="0" collapsed="false">
      <c r="B7" s="1" t="n">
        <v>2101</v>
      </c>
      <c r="C7" s="1" t="s">
        <v>70</v>
      </c>
      <c r="D7" s="7" t="s">
        <v>62</v>
      </c>
      <c r="E7" s="1" t="n">
        <v>500</v>
      </c>
      <c r="F7" s="1" t="n">
        <v>200</v>
      </c>
      <c r="G7" s="1" t="n">
        <v>1500</v>
      </c>
      <c r="H7" s="1" t="n">
        <v>1</v>
      </c>
      <c r="I7" s="7" t="s">
        <v>63</v>
      </c>
      <c r="J7" s="7" t="s">
        <v>64</v>
      </c>
      <c r="K7" s="7" t="s">
        <v>71</v>
      </c>
      <c r="L7" s="7" t="s">
        <v>72</v>
      </c>
    </row>
  </sheetData>
  <autoFilter ref="A1:K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0.92"/>
    <col collapsed="false" customWidth="true" hidden="false" outlineLevel="0" max="5" min="5" style="1" width="9.1"/>
    <col collapsed="false" customWidth="true" hidden="false" outlineLevel="0" max="6" min="6" style="1" width="20.01"/>
    <col collapsed="false" customWidth="true" hidden="false" outlineLevel="0" max="7" min="7" style="1" width="9.1"/>
    <col collapsed="false" customWidth="true" hidden="false" outlineLevel="0" max="8" min="8" style="1" width="38.21"/>
    <col collapsed="false" customWidth="true" hidden="false" outlineLevel="0" max="11" min="9" style="1" width="29.1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73</v>
      </c>
      <c r="E1" s="2" t="s">
        <v>74</v>
      </c>
      <c r="F1" s="2" t="s">
        <v>75</v>
      </c>
      <c r="G1" s="2" t="s">
        <v>76</v>
      </c>
      <c r="H1" s="2" t="s">
        <v>6</v>
      </c>
      <c r="I1" s="2" t="s">
        <v>77</v>
      </c>
      <c r="J1" s="2" t="s">
        <v>78</v>
      </c>
      <c r="K1" s="2" t="s">
        <v>79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</v>
      </c>
      <c r="E2" s="3" t="s">
        <v>10</v>
      </c>
      <c r="F2" s="3" t="s">
        <v>80</v>
      </c>
      <c r="G2" s="3" t="s">
        <v>10</v>
      </c>
      <c r="H2" s="3" t="s">
        <v>13</v>
      </c>
      <c r="I2" s="3" t="s">
        <v>49</v>
      </c>
      <c r="J2" s="3" t="s">
        <v>49</v>
      </c>
      <c r="K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4" t="s">
        <v>16</v>
      </c>
      <c r="K3" s="4" t="s">
        <v>16</v>
      </c>
    </row>
    <row r="4" customFormat="false" ht="15" hidden="false" customHeight="true" outlineLevel="0" collapsed="false">
      <c r="A4" s="5" t="s">
        <v>17</v>
      </c>
      <c r="B4" s="5" t="s">
        <v>81</v>
      </c>
      <c r="C4" s="5" t="s">
        <v>82</v>
      </c>
      <c r="D4" s="6" t="s">
        <v>83</v>
      </c>
      <c r="E4" s="6" t="s">
        <v>84</v>
      </c>
      <c r="F4" s="6" t="s">
        <v>85</v>
      </c>
      <c r="G4" s="6" t="s">
        <v>86</v>
      </c>
      <c r="H4" s="6" t="s">
        <v>87</v>
      </c>
      <c r="I4" s="6" t="s">
        <v>88</v>
      </c>
      <c r="J4" s="6" t="s">
        <v>89</v>
      </c>
      <c r="K4" s="6" t="s">
        <v>90</v>
      </c>
    </row>
    <row r="5" customFormat="false" ht="15" hidden="false" customHeight="true" outlineLevel="0" collapsed="false">
      <c r="B5" s="1" t="n">
        <v>7001</v>
      </c>
      <c r="C5" s="1" t="s">
        <v>91</v>
      </c>
      <c r="D5" s="1" t="n">
        <v>5000</v>
      </c>
      <c r="E5" s="1" t="n">
        <v>3</v>
      </c>
      <c r="F5" s="7" t="s">
        <v>92</v>
      </c>
      <c r="G5" s="1" t="n">
        <v>1000</v>
      </c>
      <c r="I5" s="7" t="s">
        <v>93</v>
      </c>
    </row>
    <row r="6" customFormat="false" ht="15" hidden="false" customHeight="true" outlineLevel="0" collapsed="false">
      <c r="B6" s="1" t="n">
        <v>7002</v>
      </c>
      <c r="C6" s="1" t="s">
        <v>94</v>
      </c>
      <c r="D6" s="1" t="n">
        <v>3000</v>
      </c>
      <c r="E6" s="1" t="n">
        <v>1</v>
      </c>
      <c r="F6" s="7" t="s">
        <v>95</v>
      </c>
      <c r="G6" s="1" t="n">
        <v>0</v>
      </c>
      <c r="H6" s="7" t="s">
        <v>96</v>
      </c>
    </row>
  </sheetData>
  <autoFilter ref="A1:K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20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5"/>
    <col collapsed="false" customWidth="true" hidden="false" outlineLevel="0" max="9" min="8" style="1" width="10"/>
    <col collapsed="false" customWidth="true" hidden="false" outlineLevel="0" max="10" min="10" style="1" width="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97</v>
      </c>
      <c r="E1" s="2" t="s">
        <v>98</v>
      </c>
      <c r="F1" s="2" t="s">
        <v>99</v>
      </c>
      <c r="G1" s="2" t="s">
        <v>100</v>
      </c>
      <c r="H1" s="2" t="s">
        <v>101</v>
      </c>
      <c r="I1" s="2" t="s">
        <v>102</v>
      </c>
      <c r="J1" s="2" t="s">
        <v>103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104</v>
      </c>
      <c r="E2" s="3" t="s">
        <v>105</v>
      </c>
      <c r="F2" s="3" t="s">
        <v>105</v>
      </c>
      <c r="G2" s="3" t="s">
        <v>10</v>
      </c>
      <c r="H2" s="3" t="s">
        <v>106</v>
      </c>
      <c r="I2" s="3" t="s">
        <v>10</v>
      </c>
      <c r="J2" s="9" t="s">
        <v>106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10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109</v>
      </c>
      <c r="E4" s="6" t="s">
        <v>110</v>
      </c>
      <c r="F4" s="6" t="s">
        <v>111</v>
      </c>
      <c r="G4" s="6" t="s">
        <v>112</v>
      </c>
      <c r="H4" s="6" t="s">
        <v>113</v>
      </c>
      <c r="I4" s="6" t="s">
        <v>114</v>
      </c>
      <c r="J4" s="6" t="s">
        <v>115</v>
      </c>
    </row>
    <row r="5" customFormat="false" ht="15" hidden="false" customHeight="true" outlineLevel="0" collapsed="false">
      <c r="B5" s="1" t="n">
        <v>3001</v>
      </c>
      <c r="C5" s="1" t="s">
        <v>116</v>
      </c>
      <c r="D5" s="7" t="s">
        <v>117</v>
      </c>
      <c r="E5" s="1" t="n">
        <v>10000</v>
      </c>
      <c r="F5" s="1" t="n">
        <v>0</v>
      </c>
      <c r="G5" s="1" t="n">
        <v>0</v>
      </c>
      <c r="H5" s="7" t="b">
        <f aca="false">TRUE()</f>
        <v>1</v>
      </c>
      <c r="I5" s="1" t="n">
        <v>1</v>
      </c>
      <c r="J5" s="1" t="b">
        <f aca="false">TRUE()</f>
        <v>1</v>
      </c>
    </row>
    <row r="6" customFormat="false" ht="15" hidden="false" customHeight="true" outlineLevel="0" collapsed="false">
      <c r="B6" s="1" t="n">
        <v>3002</v>
      </c>
      <c r="C6" s="1" t="s">
        <v>118</v>
      </c>
      <c r="D6" s="7" t="s">
        <v>117</v>
      </c>
      <c r="E6" s="1" t="n">
        <v>12000</v>
      </c>
      <c r="F6" s="1" t="n">
        <v>0</v>
      </c>
      <c r="G6" s="1" t="n">
        <v>0</v>
      </c>
      <c r="H6" s="7" t="b">
        <f aca="false">TRUE()</f>
        <v>1</v>
      </c>
      <c r="I6" s="1" t="n">
        <v>1</v>
      </c>
      <c r="J6" s="1" t="b">
        <f aca="false">TRUE()</f>
        <v>1</v>
      </c>
    </row>
    <row r="7" customFormat="false" ht="15" hidden="false" customHeight="true" outlineLevel="0" collapsed="false">
      <c r="B7" s="1" t="n">
        <v>3003</v>
      </c>
      <c r="C7" s="1" t="s">
        <v>119</v>
      </c>
      <c r="D7" s="7" t="s">
        <v>117</v>
      </c>
      <c r="E7" s="1" t="n">
        <v>3000</v>
      </c>
      <c r="F7" s="1" t="n">
        <v>0</v>
      </c>
      <c r="G7" s="1" t="n">
        <v>1</v>
      </c>
      <c r="H7" s="7" t="b">
        <f aca="false">FALSE()</f>
        <v>0</v>
      </c>
      <c r="I7" s="1" t="n">
        <v>0</v>
      </c>
      <c r="J7" s="1" t="b">
        <f aca="false">FALSE()</f>
        <v>0</v>
      </c>
    </row>
  </sheetData>
  <autoFilter ref="A1:J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8.2"/>
    <col collapsed="false" customWidth="true" hidden="false" outlineLevel="0" max="5" min="5" style="1" width="9.1"/>
    <col collapsed="false" customWidth="true" hidden="false" outlineLevel="0" max="6" min="6" style="1" width="10.92"/>
    <col collapsed="false" customWidth="true" hidden="false" outlineLevel="0" max="7" min="7" style="1" width="9.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97</v>
      </c>
      <c r="E1" s="2" t="s">
        <v>98</v>
      </c>
      <c r="F1" s="2" t="s">
        <v>99</v>
      </c>
      <c r="G1" s="2" t="s">
        <v>101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104</v>
      </c>
      <c r="E2" s="3" t="s">
        <v>105</v>
      </c>
      <c r="F2" s="3" t="s">
        <v>105</v>
      </c>
      <c r="G2" s="3" t="s">
        <v>106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109</v>
      </c>
      <c r="E4" s="6" t="s">
        <v>110</v>
      </c>
      <c r="F4" s="6" t="s">
        <v>120</v>
      </c>
      <c r="G4" s="6" t="s">
        <v>113</v>
      </c>
    </row>
    <row r="5" customFormat="false" ht="15" hidden="false" customHeight="true" outlineLevel="0" collapsed="false">
      <c r="B5" s="1" t="n">
        <v>4001</v>
      </c>
      <c r="C5" s="1" t="s">
        <v>121</v>
      </c>
      <c r="D5" s="7" t="s">
        <v>122</v>
      </c>
      <c r="E5" s="1" t="n">
        <v>1000</v>
      </c>
      <c r="F5" s="1" t="n">
        <v>0</v>
      </c>
      <c r="G5" s="7" t="b">
        <f aca="false">FALSE()</f>
        <v>0</v>
      </c>
    </row>
    <row r="6" customFormat="false" ht="15" hidden="false" customHeight="true" outlineLevel="0" collapsed="false">
      <c r="B6" s="1" t="n">
        <v>4002</v>
      </c>
      <c r="C6" s="1" t="s">
        <v>120</v>
      </c>
      <c r="D6" s="7" t="s">
        <v>123</v>
      </c>
      <c r="E6" s="1" t="n">
        <v>0</v>
      </c>
      <c r="F6" s="1" t="n">
        <v>50</v>
      </c>
      <c r="G6" s="7" t="b">
        <f aca="false">FALSE()</f>
        <v>0</v>
      </c>
    </row>
  </sheetData>
  <autoFilter ref="A1:G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4" min="1" style="1" width="9.1"/>
    <col collapsed="false" customWidth="true" hidden="false" outlineLevel="0" max="5" min="5" style="1" width="18.2"/>
    <col collapsed="false" customWidth="true" hidden="false" outlineLevel="0" max="6" min="6" style="1" width="9.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124</v>
      </c>
      <c r="E1" s="2" t="s">
        <v>125</v>
      </c>
      <c r="F1" s="2" t="s">
        <v>126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</v>
      </c>
      <c r="E2" s="3" t="s">
        <v>10</v>
      </c>
      <c r="F2" s="3" t="s">
        <v>10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5" t="s">
        <v>81</v>
      </c>
      <c r="E4" s="6" t="s">
        <v>127</v>
      </c>
      <c r="F4" s="6" t="s">
        <v>128</v>
      </c>
    </row>
    <row r="5" customFormat="false" ht="15" hidden="false" customHeight="true" outlineLevel="0" collapsed="false">
      <c r="B5" s="1" t="n">
        <v>5001</v>
      </c>
      <c r="C5" s="1" t="s">
        <v>129</v>
      </c>
      <c r="D5" s="1" t="n">
        <v>7001</v>
      </c>
      <c r="E5" s="1" t="n">
        <v>0</v>
      </c>
      <c r="F5" s="1" t="n">
        <v>1</v>
      </c>
    </row>
    <row r="6" customFormat="false" ht="15" hidden="false" customHeight="true" outlineLevel="0" collapsed="false">
      <c r="B6" s="1" t="n">
        <v>5002</v>
      </c>
      <c r="C6" s="1" t="s">
        <v>130</v>
      </c>
      <c r="D6" s="1" t="n">
        <v>7002</v>
      </c>
      <c r="E6" s="1" t="n">
        <v>3000</v>
      </c>
      <c r="F6" s="1" t="n">
        <v>1</v>
      </c>
    </row>
  </sheetData>
  <autoFilter ref="A1:F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0" activeCellId="0" sqref="G10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9.11"/>
    <col collapsed="false" customWidth="true" hidden="false" outlineLevel="0" max="6" min="5" style="1" width="9.1"/>
    <col collapsed="false" customWidth="true" hidden="false" outlineLevel="0" max="7" min="7" style="1" width="10.92"/>
    <col collapsed="false" customWidth="true" hidden="false" outlineLevel="0" max="8" min="8" style="1" width="11.83"/>
    <col collapsed="false" customWidth="true" hidden="false" outlineLevel="0" max="9" min="9" style="1" width="13.65"/>
    <col collapsed="false" customWidth="true" hidden="false" outlineLevel="0" max="10" min="10" style="1" width="30.9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131</v>
      </c>
      <c r="E1" s="2" t="s">
        <v>132</v>
      </c>
      <c r="F1" s="2" t="s">
        <v>3</v>
      </c>
      <c r="G1" s="2" t="s">
        <v>133</v>
      </c>
      <c r="H1" s="2" t="s">
        <v>134</v>
      </c>
      <c r="I1" s="2" t="s">
        <v>135</v>
      </c>
      <c r="J1" s="8" t="s">
        <v>136</v>
      </c>
      <c r="K1" s="2" t="s">
        <v>137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11</v>
      </c>
      <c r="E2" s="3" t="s">
        <v>12</v>
      </c>
      <c r="F2" s="3" t="s">
        <v>12</v>
      </c>
      <c r="G2" s="3" t="s">
        <v>10</v>
      </c>
      <c r="H2" s="3" t="s">
        <v>10</v>
      </c>
      <c r="I2" s="3" t="s">
        <v>10</v>
      </c>
      <c r="J2" s="1" t="s">
        <v>138</v>
      </c>
      <c r="K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1" t="s">
        <v>16</v>
      </c>
      <c r="K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139</v>
      </c>
      <c r="E4" s="6" t="s">
        <v>140</v>
      </c>
      <c r="F4" s="6" t="s">
        <v>20</v>
      </c>
      <c r="G4" s="6" t="s">
        <v>141</v>
      </c>
      <c r="H4" s="6" t="s">
        <v>142</v>
      </c>
      <c r="I4" s="6" t="s">
        <v>143</v>
      </c>
      <c r="J4" s="1" t="s">
        <v>144</v>
      </c>
      <c r="K4" s="6" t="s">
        <v>145</v>
      </c>
    </row>
    <row r="5" customFormat="false" ht="15" hidden="false" customHeight="true" outlineLevel="0" collapsed="false">
      <c r="B5" s="1" t="n">
        <v>6001</v>
      </c>
      <c r="C5" s="1" t="s">
        <v>67</v>
      </c>
      <c r="D5" s="7" t="s">
        <v>146</v>
      </c>
      <c r="E5" s="1" t="n">
        <v>8</v>
      </c>
      <c r="F5" s="1" t="n">
        <v>0.25</v>
      </c>
      <c r="G5" s="1" t="n">
        <v>3000</v>
      </c>
      <c r="H5" s="1" t="n">
        <v>1</v>
      </c>
      <c r="I5" s="1" t="n">
        <v>0</v>
      </c>
      <c r="J5" s="1" t="s">
        <v>147</v>
      </c>
      <c r="K5" s="7" t="s">
        <v>148</v>
      </c>
    </row>
    <row r="6" customFormat="false" ht="15" hidden="false" customHeight="true" outlineLevel="0" collapsed="false">
      <c r="B6" s="1" t="n">
        <v>6002</v>
      </c>
      <c r="C6" s="1" t="s">
        <v>67</v>
      </c>
      <c r="D6" s="7" t="s">
        <v>149</v>
      </c>
      <c r="E6" s="1" t="n">
        <v>8</v>
      </c>
      <c r="F6" s="1" t="n">
        <v>0.25</v>
      </c>
      <c r="G6" s="1" t="n">
        <v>3000</v>
      </c>
      <c r="H6" s="1" t="n">
        <v>1</v>
      </c>
      <c r="I6" s="1" t="n">
        <v>0</v>
      </c>
      <c r="J6" s="1" t="s">
        <v>147</v>
      </c>
      <c r="K6" s="7" t="s">
        <v>150</v>
      </c>
    </row>
  </sheetData>
  <autoFilter ref="A1:J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2026-06-10T16:17:26Z</dcterms:created>
  <dc:creator>openpyxl</dc:creator>
  <dc:description/>
  <dc:language>zh-CN</dc:language>
  <cp:lastModifiedBy/>
  <dcterms:modified xsi:type="dcterms:W3CDTF">2026-06-12T15:04:27Z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